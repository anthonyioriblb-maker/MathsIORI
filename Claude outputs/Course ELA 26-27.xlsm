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CB77DDC8-7986-4AA6-B36C-FD637F81A966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Feuil1" sheetId="1" r:id="rId1"/>
  </sheets>
  <calcPr calcId="191029" fullCalcOnLoad="0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C5" i="1"/>
  <c r="D5" i="1" s="1"/>
  <c r="C6" i="1"/>
  <c r="D6" i="1" s="1"/>
  <c r="C7" i="1"/>
  <c r="D7" i="1" s="1"/>
  <c r="C8" i="1"/>
  <c r="D8" i="1" s="1"/>
  <c r="C10" i="1" l="1"/>
  <c r="F6" i="1"/>
  <c r="D10" i="1"/>
  <c r="F4" i="1"/>
  <c r="C12" i="1"/>
  <c r="F5" i="1"/>
  <c r="F7" i="1"/>
</calcChain>
</file>

<file path=xl/sharedStrings.xml><?xml version="1.0" encoding="utf-8"?>
<sst xmlns="http://schemas.openxmlformats.org/spreadsheetml/2006/main" count="19" uniqueCount="19">
  <si>
    <t>🏃 Course ELA</t>
  </si>
  <si>
    <t>Tapez les tours dans la case jaune de l'équipe, puis Entrée ➜</t>
  </si>
  <si>
    <t>Élèves</t>
  </si>
  <si>
    <t>Équipe</t>
  </si>
  <si>
    <t>Tours</t>
  </si>
  <si>
    <t>Distance</t>
  </si>
  <si>
    <t>Classement</t>
  </si>
  <si>
    <t>Tigerhaus</t>
  </si>
  <si>
    <t>Casaorca</t>
  </si>
  <si>
    <t>Vilursa</t>
  </si>
  <si>
    <t>Kitefield</t>
  </si>
  <si>
    <t>—</t>
  </si>
  <si>
    <t>Extérieur</t>
  </si>
  <si>
    <t>TOTAL</t>
  </si>
  <si>
    <t>Équipe en tête</t>
  </si>
  <si>
    <t>Distance d'un tour</t>
  </si>
  <si>
    <t>Remise à zéro des tours</t>
  </si>
  <si>
    <t>← OUI = tout remettre à 0, puis revenir à NON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</si>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</sst>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\ &quot;km&quot;"/>
    <numFmt numFmtId="166" formatCode="0\ &quot;tours&quot;"/>
    <numFmt numFmtId="167" formatCode="0.00\ &quot;km&quot;"/>
  </numFmts>
  <fonts count="14" x14ac:knownFonts="1">
    <font>
      <sz val="11"/>
      <color theme="1"/>
      <name val="Calibri"/>
      <family val="2"/>
      <scheme val="minor"/>
    </font>
    <font>
      <b/>
      <sz val="26"/>
      <color rgb="FFFFFFFF"/>
      <name val="Calibri"/>
    </font>
    <font>
      <i/>
      <sz val="11"/>
      <color rgb="FF555555"/>
      <name val="Calibri"/>
    </font>
    <font>
      <b/>
      <sz val="13"/>
      <color rgb="FFFFFFFF"/>
      <name val="Calibri"/>
    </font>
    <font>
      <sz val="14"/>
      <name val="Calibri"/>
    </font>
    <font>
      <b/>
      <sz val="14"/>
      <name val="Calibri"/>
    </font>
    <font>
      <b/>
      <sz val="14"/>
      <color rgb="FFC00000"/>
      <name val="Calibri"/>
    </font>
    <font>
      <b/>
      <sz val="14"/>
      <color rgb="FF000000"/>
      <name val="Calibri"/>
    </font>
    <font>
      <b/>
      <sz val="16"/>
      <color rgb="FFFFFFFF"/>
      <name val="Calibri"/>
    </font>
    <font>
      <b/>
      <sz val="12"/>
      <color rgb="FF1F3864"/>
      <name val="Calibri"/>
    </font>
    <font>
      <sz val="12"/>
      <name val="Calibri"/>
    </font>
    <font>
      <b/>
      <sz val="12"/>
      <color rgb="FFC00000"/>
      <name val="Calibri"/>
    </font>
    <font>
      <b/>
      <sz val="12"/>
      <name val="Calibri"/>
    </font>
    <font>
      <i/>
      <sz val="9"/>
      <color rgb="FF777777"/>
      <name val="Calibri"/>
    </font>
  </fonts>
  <fills count="13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C9A400"/>
      </patternFill>
    </fill>
    <fill>
      <patternFill patternType="solid">
        <fgColor rgb="FFFCE4D6"/>
      </patternFill>
    </fill>
    <fill>
      <patternFill patternType="solid">
        <fgColor rgb="FFFFF2A8"/>
      </patternFill>
    </fill>
    <fill>
      <patternFill patternType="solid">
        <fgColor rgb="FFDDEBF7"/>
      </patternFill>
    </fill>
    <fill>
      <patternFill patternType="solid">
        <fgColor rgb="FFEDE0D4"/>
      </patternFill>
    </fill>
    <fill>
      <patternFill patternType="solid">
        <fgColor rgb="FFE2EFDA"/>
      </patternFill>
    </fill>
    <fill>
      <patternFill patternType="solid">
        <fgColor rgb="FFEDEDED"/>
      </patternFill>
    </fill>
    <fill>
      <patternFill patternType="solid">
        <fgColor rgb="FFF2F2F2"/>
      </patternFill>
    </fill>
    <fill>
      <patternFill patternType="solid">
        <fgColor rgb="FFFDE2E2"/>
      </patternFill>
    </fill>
  </fills>
  <borders count="2">
    <border>
      <left/>
      <right/>
      <top/>
      <bottom/>
      <diagonal/>
    </border>
    <border>
      <left style="thin">
        <color rgb="FF9AA5B1"/>
      </left>
      <right style="thin">
        <color rgb="FF9AA5B1"/>
      </right>
      <top style="thin">
        <color rgb="FF9AA5B1"/>
      </top>
      <bottom style="thin">
        <color rgb="FF9AA5B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Protection="1">
      <protection locked="0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165" fontId="4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165" fontId="4" fillId="9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165" fontId="4" fillId="10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6" fontId="8" fillId="2" borderId="1" xfId="0" applyNumberFormat="1" applyFont="1" applyFill="1" applyBorder="1" applyAlignment="1">
      <alignment horizontal="center" vertical="center"/>
    </xf>
    <xf numFmtId="165" fontId="8" fillId="2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167" fontId="10" fillId="11" borderId="1" xfId="0" applyNumberFormat="1" applyFont="1" applyFill="1" applyBorder="1" applyAlignment="1">
      <alignment horizontal="center"/>
    </xf>
    <xf numFmtId="0" fontId="11" fillId="0" borderId="0" xfId="0" applyFont="1" applyAlignment="1">
      <alignment horizontal="right"/>
    </xf>
    <xf numFmtId="0" fontId="12" fillId="12" borderId="1" xfId="0" applyFont="1" applyFill="1" applyBorder="1" applyAlignment="1" applyProtection="1">
      <alignment horizontal="center"/>
      <protection locked="0"/>
    </xf>
    <xf numFmtId="0" fontId="13" fillId="0" borderId="0" xfId="0" applyFont="1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6" fillId="0" borderId="0" xfId="0" applyFont="1" applyAlignment="1">
      <alignment horizontal="center"/>
    </xf>
    <xf numFmtId="0" fontId="0" fillId="0" borderId="0" xfId="0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fr-FR"/>
              <a:t>Distance par équipe (km)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Feuil1!$B$4:$B$8</c:f>
              <c:strCache>
                <c:ptCount val="5"/>
                <c:pt idx="0">
                  <c:v>Tigerhaus</c:v>
                </c:pt>
                <c:pt idx="1">
                  <c:v>Casaorca</c:v>
                </c:pt>
                <c:pt idx="2">
                  <c:v>Vilursa</c:v>
                </c:pt>
                <c:pt idx="3">
                  <c:v>Kitefield</c:v>
                </c:pt>
                <c:pt idx="4">
                  <c:v>Extérieur</c:v>
                </c:pt>
              </c:strCache>
            </c:strRef>
          </c:cat>
          <c:val>
            <c:numRef>
              <c:f>Feuil1!$D$4:$D$8</c:f>
              <c:numCache>
                <c:formatCode>0.0\ "km"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2-4C58-B3E8-0E55269D1EC9}"/>
            </c:ext>
          </c:extLst>
        </c:ser>
        <c:dLbls>
          <c:showLegendKey val="0"/>
          <c:showVal val="1"/>
          <c:showCatName val="0"/>
          <c:showSerName val="0"/>
          <c:showPercent val="1"/>
          <c:showBubbleSize val="1"/>
        </c:dLbls>
        <c:gapWidth val="15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t"/>
        <c:majorGridlines/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F14"/>
  <sheetViews>
    <sheetView showGridLines="0" tabSelected="1" zoomScale="120" workbookViewId="0">
      <selection activeCell="A4" sqref="A4"/>
    </sheetView>
  </sheetViews>
  <sheetFormatPr baseColWidth="10" defaultRowHeight="14.25" x14ac:dyDescent="0.45"/>
  <cols>
    <col min="1" max="1" width="10" customWidth="1"/>
    <col min="2" max="2" width="22" bestFit="1" customWidth="1"/>
    <col min="3" max="3" width="16" bestFit="1" customWidth="1"/>
    <col min="4" max="4" width="18" bestFit="1" customWidth="1"/>
    <col min="5" max="5" width="14" style="1" bestFit="1" customWidth="1"/>
    <col min="6" max="6" width="14" customWidth="1"/>
    <col min="7" max="8" width="3" customWidth="1"/>
  </cols>
  <sheetData>
    <row r="1" spans="1:6" ht="46.05" customHeight="1" x14ac:dyDescent="0.45">
      <c r="A1" s="35" t="s">
        <v>0</v>
      </c>
      <c r="B1" s="36"/>
      <c r="C1" s="36"/>
      <c r="D1" s="36"/>
    </row>
    <row r="2" spans="1:6" ht="25.5" customHeight="1" x14ac:dyDescent="0.45">
      <c r="A2" s="39" t="s">
        <v>1</v>
      </c>
      <c r="B2" s="38"/>
      <c r="C2" s="38"/>
      <c r="D2" s="38"/>
    </row>
    <row r="3" spans="1:6" ht="26" customHeight="1" x14ac:dyDescent="0.45">
      <c r="A3" s="2" t="s">
        <v>2</v>
      </c>
      <c r="B3" s="2" t="s">
        <v>3</v>
      </c>
      <c r="C3" s="2" t="s">
        <v>4</v>
      </c>
      <c r="D3" s="2" t="s">
        <v>5</v>
      </c>
      <c r="E3" s="3"/>
      <c r="F3" s="2" t="s">
        <v>6</v>
      </c>
    </row>
    <row r="4" spans="1:6" ht="30" customHeight="1" x14ac:dyDescent="0.45">
      <c r="A4" s="4">
        <v>34</v>
      </c>
      <c r="B4" s="5" t="s">
        <v>7</v>
      </c>
      <c r="C4" s="6">
        <f>IF($C$14="OUI",0,C4+E4*MAX($A$4:$A$7)/A4)</f>
        <v>0</v>
      </c>
      <c r="D4" s="7">
        <f>C4*$C$13</f>
        <v>0</v>
      </c>
      <c r="E4" s="8"/>
      <c r="F4" s="9" t="str">
        <f>RANK(D4,$D$4:$D$7)&amp;IF(RANK(D4,$D$4:$D$7)=1,"er","e")</f>
        <v>1er</v>
      </c>
    </row>
    <row r="5" spans="1:6" ht="30" customHeight="1" x14ac:dyDescent="0.45">
      <c r="A5" s="10">
        <v>40</v>
      </c>
      <c r="B5" s="11" t="s">
        <v>8</v>
      </c>
      <c r="C5" s="12">
        <f>IF($C$14="OUI",0,C5+E5*MAX($A$4:$A$7)/A5)</f>
        <v>0</v>
      </c>
      <c r="D5" s="13">
        <f>C5*$C$13</f>
        <v>0</v>
      </c>
      <c r="E5" s="8"/>
      <c r="F5" s="9" t="str">
        <f>RANK(D5,$D$4:$D$7)&amp;IF(RANK(D5,$D$4:$D$7)=1,"er","e")</f>
        <v>1er</v>
      </c>
    </row>
    <row r="6" spans="1:6" ht="30" customHeight="1" x14ac:dyDescent="0.45">
      <c r="A6" s="14">
        <v>28</v>
      </c>
      <c r="B6" s="15" t="s">
        <v>9</v>
      </c>
      <c r="C6" s="16">
        <f>IF($C$14="OUI",0,C6+E6*MAX($A$4:$A$7)/A6)</f>
        <v>0</v>
      </c>
      <c r="D6" s="17">
        <f>C6*$C$13</f>
        <v>0</v>
      </c>
      <c r="E6" s="8"/>
      <c r="F6" s="9" t="str">
        <f>RANK(D6,$D$4:$D$7)&amp;IF(RANK(D6,$D$4:$D$7)=1,"er","e")</f>
        <v>1er</v>
      </c>
    </row>
    <row r="7" spans="1:6" ht="30" customHeight="1" x14ac:dyDescent="0.45">
      <c r="A7" s="18">
        <v>39</v>
      </c>
      <c r="B7" s="19" t="s">
        <v>10</v>
      </c>
      <c r="C7" s="20">
        <f>IF($C$14="OUI",0,C7+E7*MAX($A$4:$A$7)/A7)</f>
        <v>0</v>
      </c>
      <c r="D7" s="21">
        <f>C7*$C$13</f>
        <v>0</v>
      </c>
      <c r="E7" s="8"/>
      <c r="F7" s="9" t="str">
        <f>RANK(D7,$D$4:$D$7)&amp;IF(RANK(D7,$D$4:$D$7)=1,"er","e")</f>
        <v>1er</v>
      </c>
    </row>
    <row r="8" spans="1:6" ht="30" customHeight="1" x14ac:dyDescent="0.45">
      <c r="A8" s="22" t="s">
        <v>11</v>
      </c>
      <c r="B8" s="23" t="s">
        <v>12</v>
      </c>
      <c r="C8" s="24">
        <f>IF($C$14="OUI",0,C8+E8)</f>
        <v>0</v>
      </c>
      <c r="D8" s="25">
        <f>C8*$C$13</f>
        <v>0</v>
      </c>
      <c r="E8" s="8"/>
      <c r="F8" s="26"/>
    </row>
    <row r="9" spans="1:6" ht="25.5" customHeight="1" x14ac:dyDescent="0.45"/>
    <row r="10" spans="1:6" ht="34.049999999999997" customHeight="1" x14ac:dyDescent="0.45">
      <c r="B10" s="27" t="s">
        <v>13</v>
      </c>
      <c r="C10" s="28">
        <f>SUM(C4:C8)</f>
        <v>0</v>
      </c>
      <c r="D10" s="29">
        <f>SUM(D4:D8)</f>
        <v>0</v>
      </c>
    </row>
    <row r="12" spans="1:6" ht="18" x14ac:dyDescent="0.55000000000000004">
      <c r="B12" s="30" t="s">
        <v>14</v>
      </c>
      <c r="C12" s="37" t="str">
        <f>INDEX(B4:B7,MATCH(MAX(D4:D7),D4:D7,0))</f>
        <v>Tigerhaus</v>
      </c>
      <c r="D12" s="38"/>
    </row>
    <row r="13" spans="1:6" ht="15.75" x14ac:dyDescent="0.5">
      <c r="B13" s="30" t="s">
        <v>15</v>
      </c>
      <c r="C13" s="31">
        <v>0.7</v>
      </c>
    </row>
    <row r="14" spans="1:6" ht="15.75" x14ac:dyDescent="0.5">
      <c r="B14" s="32" t="s">
        <v>16</v>
      </c>
      <c r="C14" s="33" t="s">
        <v>18</v>
      </c>
      <c r="D14" s="34" t="s">
        <v>17</v>
      </c>
    </row>
  </sheetData>
  <mergeCells count="3">
    <mergeCell ref="A1:D1"/>
    <mergeCell ref="C12:D12"/>
    <mergeCell ref="A2:D2"/>
  </mergeCells>
  <conditionalFormatting sqref="D4:D7">
    <cfRule type="dataBar" priority="1">
      <dataBar>
        <cfvo type="num" val="0"/>
        <cfvo type="max"/>
        <color rgb="FF5B9BD5"/>
      </dataBar>
    </cfRule>
  </conditionalFormatting>
  <dataValidations count="1">
    <dataValidation type="list" sqref="C14" xr:uid="{00000000-0002-0000-0000-000000000000}">
      <formula1>"NON,OUI"</formula1>
    </dataValidation>
  </dataValidations>
  <pageMargins left="0.7" right="0.7" top="0.75" bottom="0.75" header="0.3" footer="0.3"/>
  <pageSetup paperSize="9" fitToHeight="0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Iori</dc:creator>
  <cp:lastModifiedBy>Anthony Iori</cp:lastModifiedBy>
  <dcterms:created xsi:type="dcterms:W3CDTF">2023-10-16T13:05:43Z</dcterms:created>
  <dcterms:modified xsi:type="dcterms:W3CDTF">2026-10-15T12:08:30Z</dcterms:modified>
</cp:coreProperties>
</file>